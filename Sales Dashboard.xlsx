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Power BI Project\"/>
    </mc:Choice>
  </mc:AlternateContent>
  <xr:revisionPtr revIDLastSave="0" documentId="13_ncr:1_{CB6635B6-9342-4CBA-A71E-E243F5B95768}" xr6:coauthVersionLast="47" xr6:coauthVersionMax="47" xr10:uidLastSave="{00000000-0000-0000-0000-000000000000}"/>
  <bookViews>
    <workbookView xWindow="-108" yWindow="-108" windowWidth="23256" windowHeight="12456" activeTab="2" xr2:uid="{507C99C5-0A96-43EA-9F29-7D11CB4E2966}"/>
  </bookViews>
  <sheets>
    <sheet name="Sheet1" sheetId="1" r:id="rId1"/>
    <sheet name="Pivot Table" sheetId="6" r:id="rId2"/>
    <sheet name="Dashboard" sheetId="4" r:id="rId3"/>
  </sheets>
  <definedNames>
    <definedName name="Slicer_City">#N/A</definedName>
    <definedName name="Slicer_profi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<sst xmlns="http://schemas.openxmlformats.org/spreadsheetml/2006/main" count="69" uniqueCount="57">
  <si>
    <t>sr no</t>
  </si>
  <si>
    <t>year</t>
  </si>
  <si>
    <t>price</t>
  </si>
  <si>
    <t>profit</t>
  </si>
  <si>
    <t>buy</t>
  </si>
  <si>
    <t>online</t>
  </si>
  <si>
    <t>total</t>
  </si>
  <si>
    <t>Trusted Customer</t>
  </si>
  <si>
    <t>Aarav Mehta</t>
  </si>
  <si>
    <t>Rohan Desai</t>
  </si>
  <si>
    <t>Kunal Verma</t>
  </si>
  <si>
    <t>Ishaan Kapoor</t>
  </si>
  <si>
    <t>Neha Sharma</t>
  </si>
  <si>
    <t>Priya Nair</t>
  </si>
  <si>
    <t>Aditya Rao</t>
  </si>
  <si>
    <t>Kavya Sinha</t>
  </si>
  <si>
    <t>Manish Patel</t>
  </si>
  <si>
    <t>Sneha Kulkarni</t>
  </si>
  <si>
    <t>Varun Bhatia</t>
  </si>
  <si>
    <t>Riya Malhotra</t>
  </si>
  <si>
    <t>Siddharth Jain</t>
  </si>
  <si>
    <t>Ananya Gupta</t>
  </si>
  <si>
    <t>Harsh Vora</t>
  </si>
  <si>
    <t>Meera Iyer</t>
  </si>
  <si>
    <t>Vivek Choudhary</t>
  </si>
  <si>
    <t>Tanvi Joshi</t>
  </si>
  <si>
    <t>Arjun Khanna</t>
  </si>
  <si>
    <t>Pooja Reddy</t>
  </si>
  <si>
    <t>City</t>
  </si>
  <si>
    <t>Mumbai</t>
  </si>
  <si>
    <t>Jaipur</t>
  </si>
  <si>
    <t>Kochi</t>
  </si>
  <si>
    <t>Nagpur</t>
  </si>
  <si>
    <t>Indore</t>
  </si>
  <si>
    <t>Surat</t>
  </si>
  <si>
    <t>Chandigarh</t>
  </si>
  <si>
    <t>Bhubaneswar</t>
  </si>
  <si>
    <t>Varanasi</t>
  </si>
  <si>
    <t>Guwahati</t>
  </si>
  <si>
    <t>Pune</t>
  </si>
  <si>
    <t>Mysuru</t>
  </si>
  <si>
    <t>Ranchi</t>
  </si>
  <si>
    <t>Jodhpur</t>
  </si>
  <si>
    <t>Ahmedabad</t>
  </si>
  <si>
    <t>Coimbatore</t>
  </si>
  <si>
    <t>Lucknow</t>
  </si>
  <si>
    <t>Visakhapatnam</t>
  </si>
  <si>
    <t>Patna</t>
  </si>
  <si>
    <t>Thiruvananthapuram</t>
  </si>
  <si>
    <t>Sum of year</t>
  </si>
  <si>
    <t>Sum of price</t>
  </si>
  <si>
    <t>Sum of profit</t>
  </si>
  <si>
    <t>Sum of total</t>
  </si>
  <si>
    <t>Row Labels</t>
  </si>
  <si>
    <t>Grand Total</t>
  </si>
  <si>
    <t>Sum of buy</t>
  </si>
  <si>
    <t>Sum of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</si>
</sst>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2" tint="-0.89999084444715716"/>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vertical="center" wrapText="1"/>
    </xf>
    <xf numFmtId="0" fontId="2" fillId="0" borderId="1" xfId="0" applyFont="1" applyBorder="1"/>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0" xfId="0" applyFont="1"/>
    <xf numFmtId="0" fontId="2" fillId="0" borderId="7" xfId="0" applyFont="1" applyBorder="1" applyAlignment="1">
      <alignment vertical="center" wrapText="1"/>
    </xf>
    <xf numFmtId="0" fontId="2" fillId="0" borderId="8" xfId="0" applyFont="1" applyBorder="1"/>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3" xfId="0" applyFont="1" applyBorder="1"/>
    <xf numFmtId="0" fontId="2" fillId="0" borderId="9"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0" xfId="0" applyFont="1"/>
  </cellXfs>
  <cellStyles count="1">
    <cellStyle name="Normal" xfId="0" builtinId="0"/>
  </cellStyles>
  <dxfs count="13">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2" tint="-0.89999084444715716"/>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theme="2" tint="-0.89999084444715716"/>
        <name val="Calibri"/>
        <family val="2"/>
        <scheme val="minor"/>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strike val="0"/>
        <outline val="0"/>
        <shadow val="0"/>
        <u val="none"/>
        <vertAlign val="baseline"/>
        <sz val="11"/>
        <color theme="2" tint="-0.89999084444715716"/>
        <name val="Calibri"/>
        <family val="2"/>
        <scheme val="minor"/>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2" tint="-0.89999084444715716"/>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F02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Sum of 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Table'!$A$2:$A$3</c:f>
              <c:strCache>
                <c:ptCount val="1"/>
                <c:pt idx="0">
                  <c:v>16000</c:v>
                </c:pt>
              </c:strCache>
            </c:strRef>
          </c:cat>
          <c:val>
            <c:numRef>
              <c:f>'Pivot Table'!$B$2:$B$3</c:f>
              <c:numCache>
                <c:formatCode>General</c:formatCode>
                <c:ptCount val="1"/>
                <c:pt idx="0">
                  <c:v>2009</c:v>
                </c:pt>
              </c:numCache>
            </c:numRef>
          </c:val>
          <c:extLst>
            <c:ext xmlns:c16="http://schemas.microsoft.com/office/drawing/2014/chart" uri="{C3380CC4-5D6E-409C-BE32-E72D297353CC}">
              <c16:uniqueId val="{00000000-980D-47BA-AA24-7D48AF7F8445}"/>
            </c:ext>
          </c:extLst>
        </c:ser>
        <c:ser>
          <c:idx val="1"/>
          <c:order val="1"/>
          <c:tx>
            <c:strRef>
              <c:f>'Pivot Table'!$C$1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Table'!$A$2:$A$3</c:f>
              <c:strCache>
                <c:ptCount val="1"/>
                <c:pt idx="0">
                  <c:v>16000</c:v>
                </c:pt>
              </c:strCache>
            </c:strRef>
          </c:cat>
          <c:val>
            <c:numRef>
              <c:f>'Pivot Table'!$C$2:$C$3</c:f>
              <c:numCache>
                <c:formatCode>General</c:formatCode>
                <c:ptCount val="1"/>
                <c:pt idx="0">
                  <c:v>5200</c:v>
                </c:pt>
              </c:numCache>
            </c:numRef>
          </c:val>
          <c:extLst>
            <c:ext xmlns:c16="http://schemas.microsoft.com/office/drawing/2014/chart" uri="{C3380CC4-5D6E-409C-BE32-E72D297353CC}">
              <c16:uniqueId val="{00000001-980D-47BA-AA24-7D48AF7F8445}"/>
            </c:ext>
          </c:extLst>
        </c:ser>
        <c:ser>
          <c:idx val="2"/>
          <c:order val="2"/>
          <c:tx>
            <c:strRef>
              <c:f>'Pivot Table'!$D$1</c:f>
              <c:strCache>
                <c:ptCount val="1"/>
                <c:pt idx="0">
                  <c:v>Sum of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Table'!$A$2:$A$3</c:f>
              <c:strCache>
                <c:ptCount val="1"/>
                <c:pt idx="0">
                  <c:v>16000</c:v>
                </c:pt>
              </c:strCache>
            </c:strRef>
          </c:cat>
          <c:val>
            <c:numRef>
              <c:f>'Pivot Table'!$D$2:$D$3</c:f>
              <c:numCache>
                <c:formatCode>General</c:formatCode>
                <c:ptCount val="1"/>
                <c:pt idx="0">
                  <c:v>155</c:v>
                </c:pt>
              </c:numCache>
            </c:numRef>
          </c:val>
          <c:extLst>
            <c:ext xmlns:c16="http://schemas.microsoft.com/office/drawing/2014/chart" uri="{C3380CC4-5D6E-409C-BE32-E72D297353CC}">
              <c16:uniqueId val="{00000002-980D-47BA-AA24-7D48AF7F8445}"/>
            </c:ext>
          </c:extLst>
        </c:ser>
        <c:dLbls>
          <c:showLegendKey val="0"/>
          <c:showVal val="0"/>
          <c:showCatName val="0"/>
          <c:showSerName val="0"/>
          <c:showPercent val="0"/>
          <c:showBubbleSize val="0"/>
        </c:dLbls>
        <c:gapWidth val="219"/>
        <c:overlap val="-27"/>
        <c:axId val="1773337247"/>
        <c:axId val="1773320927"/>
      </c:barChart>
      <c:catAx>
        <c:axId val="177333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latin typeface="+mn-lt"/>
                <a:ea typeface="+mn-ea"/>
                <a:cs typeface="+mn-cs"/>
              </a:defRPr>
            </a:pPr>
            <a:endParaRPr lang="en-US"/>
          </a:p>
        </c:txPr>
        <c:crossAx val="1773320927"/>
        <c:crosses val="autoZero"/>
        <c:auto val="1"/>
        <c:lblAlgn val="ctr"/>
        <c:lblOffset val="100"/>
        <c:noMultiLvlLbl val="0"/>
      </c:catAx>
      <c:valAx>
        <c:axId val="177332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latin typeface="+mn-lt"/>
                <a:ea typeface="+mn-ea"/>
                <a:cs typeface="+mn-cs"/>
              </a:defRPr>
            </a:pPr>
            <a:endParaRPr lang="en-US"/>
          </a:p>
        </c:txPr>
        <c:crossAx val="177333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ln>
            <a:solidFill>
              <a:schemeClr val="tx1">
                <a:lumMod val="95000"/>
                <a:lumOff val="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Sum of buy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Table'!$A$14:$A$15</c:f>
              <c:strCache>
                <c:ptCount val="1"/>
                <c:pt idx="0">
                  <c:v>Jaipur</c:v>
                </c:pt>
              </c:strCache>
            </c:strRef>
          </c:cat>
          <c:val>
            <c:numRef>
              <c:f>'Pivot Table'!$B$14:$B$15</c:f>
              <c:numCache>
                <c:formatCode>General</c:formatCode>
                <c:ptCount val="1"/>
                <c:pt idx="0">
                  <c:v>100</c:v>
                </c:pt>
              </c:numCache>
            </c:numRef>
          </c:val>
          <c:extLst>
            <c:ext xmlns:c16="http://schemas.microsoft.com/office/drawing/2014/chart" uri="{C3380CC4-5D6E-409C-BE32-E72D297353CC}">
              <c16:uniqueId val="{00000000-0A03-4BC4-A618-784B59E4A938}"/>
            </c:ext>
          </c:extLst>
        </c:ser>
        <c:ser>
          <c:idx val="1"/>
          <c:order val="1"/>
          <c:tx>
            <c:strRef>
              <c:f>'Pivot Table'!$C$13</c:f>
              <c:strCache>
                <c:ptCount val="1"/>
                <c:pt idx="0">
                  <c:v>Sum of online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Table'!$A$14:$A$15</c:f>
              <c:strCache>
                <c:ptCount val="1"/>
                <c:pt idx="0">
                  <c:v>Jaipur</c:v>
                </c:pt>
              </c:strCache>
            </c:strRef>
          </c:cat>
          <c:val>
            <c:numRef>
              <c:f>'Pivot Table'!$C$14:$C$15</c:f>
              <c:numCache>
                <c:formatCode>General</c:formatCode>
                <c:ptCount val="1"/>
                <c:pt idx="0">
                  <c:v>55</c:v>
                </c:pt>
              </c:numCache>
            </c:numRef>
          </c:val>
          <c:extLst>
            <c:ext xmlns:c16="http://schemas.microsoft.com/office/drawing/2014/chart" uri="{C3380CC4-5D6E-409C-BE32-E72D297353CC}">
              <c16:uniqueId val="{00000001-0A03-4BC4-A618-784B59E4A938}"/>
            </c:ext>
          </c:extLst>
        </c:ser>
        <c:ser>
          <c:idx val="2"/>
          <c:order val="2"/>
          <c:tx>
            <c:strRef>
              <c:f>'Pivot Table'!$D$13</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Table'!$A$14:$A$15</c:f>
              <c:strCache>
                <c:ptCount val="1"/>
                <c:pt idx="0">
                  <c:v>Jaipur</c:v>
                </c:pt>
              </c:strCache>
            </c:strRef>
          </c:cat>
          <c:val>
            <c:numRef>
              <c:f>'Pivot Table'!$D$14:$D$15</c:f>
              <c:numCache>
                <c:formatCode>General</c:formatCode>
                <c:ptCount val="1"/>
                <c:pt idx="0">
                  <c:v>5200</c:v>
                </c:pt>
              </c:numCache>
            </c:numRef>
          </c:val>
          <c:extLst>
            <c:ext xmlns:c16="http://schemas.microsoft.com/office/drawing/2014/chart" uri="{C3380CC4-5D6E-409C-BE32-E72D297353CC}">
              <c16:uniqueId val="{00000002-0A03-4BC4-A618-784B59E4A938}"/>
            </c:ext>
          </c:extLst>
        </c:ser>
        <c:dLbls>
          <c:showLegendKey val="0"/>
          <c:showVal val="0"/>
          <c:showCatName val="0"/>
          <c:showSerName val="0"/>
          <c:showPercent val="0"/>
          <c:showBubbleSize val="0"/>
        </c:dLbls>
        <c:gapWidth val="219"/>
        <c:overlap val="-27"/>
        <c:axId val="1797836847"/>
        <c:axId val="1797833967"/>
      </c:barChart>
      <c:catAx>
        <c:axId val="17978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1797833967"/>
        <c:crosses val="autoZero"/>
        <c:auto val="1"/>
        <c:lblAlgn val="ctr"/>
        <c:lblOffset val="100"/>
        <c:noMultiLvlLbl val="0"/>
      </c:catAx>
      <c:valAx>
        <c:axId val="179783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179783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ln>
            <a:solidFill>
              <a:schemeClr val="tx1">
                <a:lumMod val="95000"/>
                <a:lumOff val="5000"/>
              </a:schemeClr>
            </a:solid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15"/>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solidFill>
                <a:latin typeface="+mn-lt"/>
                <a:ea typeface="+mn-ea"/>
                <a:cs typeface="+mn-cs"/>
              </a:defRPr>
            </a:pPr>
            <a:r>
              <a:rPr lang="en-US"/>
              <a:t>Trusted Customer</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pivotFmt>
    </c:pivotFmts>
    <c:plotArea>
      <c:layout/>
      <c:pieChart>
        <c:varyColors val="1"/>
        <c:ser>
          <c:idx val="0"/>
          <c:order val="0"/>
          <c:tx>
            <c:strRef>
              <c:f>'Pivot Table'!$B$21</c:f>
              <c:strCache>
                <c:ptCount val="1"/>
                <c:pt idx="0">
                  <c:v>Sum of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E9-4B82-AF6D-377584F88B7A}"/>
              </c:ext>
            </c:extLst>
          </c:dPt>
          <c:cat>
            <c:multiLvlStrRef>
              <c:f>'Pivot Table'!$A$22:$A$24</c:f>
              <c:multiLvlStrCache>
                <c:ptCount val="1"/>
                <c:lvl>
                  <c:pt idx="0">
                    <c:v>Jaipur</c:v>
                  </c:pt>
                </c:lvl>
                <c:lvl>
                  <c:pt idx="0">
                    <c:v>Meera Iyer</c:v>
                  </c:pt>
                </c:lvl>
              </c:multiLvlStrCache>
            </c:multiLvlStrRef>
          </c:cat>
          <c:val>
            <c:numRef>
              <c:f>'Pivot Table'!$B$22:$B$24</c:f>
              <c:numCache>
                <c:formatCode>General</c:formatCode>
                <c:ptCount val="1"/>
                <c:pt idx="0">
                  <c:v>16000</c:v>
                </c:pt>
              </c:numCache>
            </c:numRef>
          </c:val>
          <c:extLst>
            <c:ext xmlns:c16="http://schemas.microsoft.com/office/drawing/2014/chart" uri="{C3380CC4-5D6E-409C-BE32-E72D297353CC}">
              <c16:uniqueId val="{00000002-C3E9-4B82-AF6D-377584F88B7A}"/>
            </c:ext>
          </c:extLst>
        </c:ser>
        <c:ser>
          <c:idx val="1"/>
          <c:order val="1"/>
          <c:tx>
            <c:strRef>
              <c:f>'Pivot Table'!$C$21</c:f>
              <c:strCache>
                <c:ptCount val="1"/>
                <c:pt idx="0">
                  <c:v>Sum of year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C3E9-4B82-AF6D-377584F88B7A}"/>
              </c:ext>
            </c:extLst>
          </c:dPt>
          <c:cat>
            <c:multiLvlStrRef>
              <c:f>'Pivot Table'!$A$22:$A$24</c:f>
              <c:multiLvlStrCache>
                <c:ptCount val="1"/>
                <c:lvl>
                  <c:pt idx="0">
                    <c:v>Jaipur</c:v>
                  </c:pt>
                </c:lvl>
                <c:lvl>
                  <c:pt idx="0">
                    <c:v>Meera Iyer</c:v>
                  </c:pt>
                </c:lvl>
              </c:multiLvlStrCache>
            </c:multiLvlStrRef>
          </c:cat>
          <c:val>
            <c:numRef>
              <c:f>'Pivot Table'!$C$22:$C$24</c:f>
              <c:numCache>
                <c:formatCode>General</c:formatCode>
                <c:ptCount val="1"/>
                <c:pt idx="0">
                  <c:v>2009</c:v>
                </c:pt>
              </c:numCache>
            </c:numRef>
          </c:val>
          <c:extLst>
            <c:ext xmlns:c16="http://schemas.microsoft.com/office/drawing/2014/chart" uri="{C3380CC4-5D6E-409C-BE32-E72D297353CC}">
              <c16:uniqueId val="{00000005-C3E9-4B82-AF6D-377584F88B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a:scene3d>
      <a:camera prst="orthographicFront"/>
      <a:lightRig rig="threePt" dir="t"/>
    </a:scene3d>
    <a:sp3d>
      <a:bevelB w="139700" h="139700" prst="divot"/>
    </a:sp3d>
  </c:spPr>
  <c:txPr>
    <a:bodyPr/>
    <a:lstStyle/>
    <a:p>
      <a:pPr>
        <a:defRPr>
          <a:ln>
            <a:solidFill>
              <a:schemeClr val="tx1">
                <a:lumMod val="95000"/>
                <a:lumOff val="5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408310-4C38-44B7-BB47-4E4C4B58264A}" type="VALUE">
                  <a:rPr lang="en-US" sz="1400" b="1"/>
                  <a:pPr>
                    <a:defRPr/>
                  </a:pPr>
                  <a:t>[VALUE]</a:t>
                </a:fld>
                <a:r>
                  <a:rPr lang="en-US" sz="1400" b="1"/>
                  <a:t> 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Table'!$A$29</c:f>
              <c:strCache>
                <c:ptCount val="1"/>
                <c:pt idx="0">
                  <c:v>Total</c:v>
                </c:pt>
              </c:strCache>
            </c:strRef>
          </c:tx>
          <c:spPr>
            <a:solidFill>
              <a:schemeClr val="accent1"/>
            </a:solidFill>
            <a:ln>
              <a:noFill/>
            </a:ln>
            <a:effectLst/>
          </c:spPr>
          <c:invertIfNegative val="0"/>
          <c:dLbls>
            <c:dLbl>
              <c:idx val="0"/>
              <c:tx>
                <c:rich>
                  <a:bodyPr/>
                  <a:lstStyle/>
                  <a:p>
                    <a:fld id="{AF408310-4C38-44B7-BB47-4E4C4B58264A}" type="VALUE">
                      <a:rPr lang="en-US" sz="1400" b="1"/>
                      <a:pPr/>
                      <a:t>[VALUE]</a:t>
                    </a:fld>
                    <a:r>
                      <a:rPr lang="en-US" sz="1400" b="1"/>
                      <a:t> M</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82A-4F1F-9678-9C6DA8B68E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c:f>
              <c:strCache>
                <c:ptCount val="1"/>
                <c:pt idx="0">
                  <c:v>Total</c:v>
                </c:pt>
              </c:strCache>
            </c:strRef>
          </c:cat>
          <c:val>
            <c:numRef>
              <c:f>'Pivot Table'!$A$30</c:f>
              <c:numCache>
                <c:formatCode>General</c:formatCode>
                <c:ptCount val="1"/>
                <c:pt idx="0">
                  <c:v>155</c:v>
                </c:pt>
              </c:numCache>
            </c:numRef>
          </c:val>
          <c:extLst>
            <c:ext xmlns:c16="http://schemas.microsoft.com/office/drawing/2014/chart" uri="{C3380CC4-5D6E-409C-BE32-E72D297353CC}">
              <c16:uniqueId val="{00000000-482A-4F1F-9678-9C6DA8B68E80}"/>
            </c:ext>
          </c:extLst>
        </c:ser>
        <c:dLbls>
          <c:showLegendKey val="0"/>
          <c:showVal val="0"/>
          <c:showCatName val="0"/>
          <c:showSerName val="0"/>
          <c:showPercent val="0"/>
          <c:showBubbleSize val="0"/>
        </c:dLbls>
        <c:gapWidth val="182"/>
        <c:axId val="2126297471"/>
        <c:axId val="2126301311"/>
      </c:barChart>
      <c:catAx>
        <c:axId val="212629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01311"/>
        <c:crosses val="autoZero"/>
        <c:auto val="1"/>
        <c:lblAlgn val="ctr"/>
        <c:lblOffset val="100"/>
        <c:noMultiLvlLbl val="0"/>
      </c:catAx>
      <c:valAx>
        <c:axId val="2126301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9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83820</xdr:rowOff>
    </xdr:from>
    <xdr:to>
      <xdr:col>22</xdr:col>
      <xdr:colOff>464820</xdr:colOff>
      <xdr:row>27</xdr:row>
      <xdr:rowOff>38100</xdr:rowOff>
    </xdr:to>
    <xdr:sp macro="" textlink="">
      <xdr:nvSpPr>
        <xdr:cNvPr id="3" name="Rectangle: Rounded Corners 2">
          <a:extLst>
            <a:ext uri="{FF2B5EF4-FFF2-40B4-BE49-F238E27FC236}">
              <a16:creationId xmlns:a16="http://schemas.microsoft.com/office/drawing/2014/main" id="{9141B7CE-DB2D-38F1-A687-B6F7D5F51813}"/>
            </a:ext>
          </a:extLst>
        </xdr:cNvPr>
        <xdr:cNvSpPr/>
      </xdr:nvSpPr>
      <xdr:spPr>
        <a:xfrm>
          <a:off x="228600" y="83820"/>
          <a:ext cx="13647420" cy="4892040"/>
        </a:xfrm>
        <a:prstGeom prst="roundRect">
          <a:avLst>
            <a:gd name="adj" fmla="val 7633"/>
          </a:avLst>
        </a:prstGeom>
        <a:solidFill>
          <a:schemeClr val="tx1">
            <a:lumMod val="95000"/>
            <a:lumOff val="5000"/>
            <a:alpha val="49804"/>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137160</xdr:colOff>
      <xdr:row>0</xdr:row>
      <xdr:rowOff>160020</xdr:rowOff>
    </xdr:from>
    <xdr:to>
      <xdr:col>19</xdr:col>
      <xdr:colOff>137160</xdr:colOff>
      <xdr:row>14</xdr:row>
      <xdr:rowOff>51435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AF1B13A7-1E71-45A5-BF05-9FE4C9A48A1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890760" y="160020"/>
              <a:ext cx="1828800"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0</xdr:row>
      <xdr:rowOff>160020</xdr:rowOff>
    </xdr:from>
    <xdr:to>
      <xdr:col>22</xdr:col>
      <xdr:colOff>228600</xdr:colOff>
      <xdr:row>14</xdr:row>
      <xdr:rowOff>51435</xdr:rowOff>
    </xdr:to>
    <mc:AlternateContent xmlns:mc="http://schemas.openxmlformats.org/markup-compatibility/2006" xmlns:a14="http://schemas.microsoft.com/office/drawing/2010/main">
      <mc:Choice Requires="a14">
        <xdr:graphicFrame macro="">
          <xdr:nvGraphicFramePr>
            <xdr:cNvPr id="5" name="profit">
              <a:extLst>
                <a:ext uri="{FF2B5EF4-FFF2-40B4-BE49-F238E27FC236}">
                  <a16:creationId xmlns:a16="http://schemas.microsoft.com/office/drawing/2014/main" id="{64327351-E885-47A6-B706-8825C180933A}"/>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1811000" y="160020"/>
              <a:ext cx="1828800"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1</xdr:row>
      <xdr:rowOff>7620</xdr:rowOff>
    </xdr:from>
    <xdr:to>
      <xdr:col>16</xdr:col>
      <xdr:colOff>15240</xdr:colOff>
      <xdr:row>14</xdr:row>
      <xdr:rowOff>81915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A2CA4573-4028-4835-99BD-879333520E9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40040" y="190500"/>
              <a:ext cx="1828800"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60960</xdr:colOff>
      <xdr:row>14</xdr:row>
      <xdr:rowOff>121920</xdr:rowOff>
    </xdr:from>
    <xdr:to>
      <xdr:col>22</xdr:col>
      <xdr:colOff>198120</xdr:colOff>
      <xdr:row>25</xdr:row>
      <xdr:rowOff>129540</xdr:rowOff>
    </xdr:to>
    <xdr:graphicFrame macro="">
      <xdr:nvGraphicFramePr>
        <xdr:cNvPr id="7" name="Chart 6">
          <a:extLst>
            <a:ext uri="{FF2B5EF4-FFF2-40B4-BE49-F238E27FC236}">
              <a16:creationId xmlns:a16="http://schemas.microsoft.com/office/drawing/2014/main" id="{EF184505-D72C-47E0-A786-492910E0B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xdr:row>
      <xdr:rowOff>15240</xdr:rowOff>
    </xdr:from>
    <xdr:to>
      <xdr:col>12</xdr:col>
      <xdr:colOff>495300</xdr:colOff>
      <xdr:row>14</xdr:row>
      <xdr:rowOff>68580</xdr:rowOff>
    </xdr:to>
    <xdr:graphicFrame macro="">
      <xdr:nvGraphicFramePr>
        <xdr:cNvPr id="8" name="Chart 7">
          <a:extLst>
            <a:ext uri="{FF2B5EF4-FFF2-40B4-BE49-F238E27FC236}">
              <a16:creationId xmlns:a16="http://schemas.microsoft.com/office/drawing/2014/main" id="{9D8283FC-EA5A-4560-9151-BE06854A5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274320</xdr:colOff>
      <xdr:row>14</xdr:row>
      <xdr:rowOff>137160</xdr:rowOff>
    </xdr:from>
    <xdr:to>
      <xdr:col>12</xdr:col>
      <xdr:colOff>449580</xdr:colOff>
      <xdr:row>26</xdr:row>
      <xdr:rowOff>38100</xdr:rowOff>
    </xdr:to>
    <xdr:graphicFrame macro="">
      <xdr:nvGraphicFramePr>
        <xdr:cNvPr id="9" name="Chart 8">
          <a:extLst>
            <a:ext uri="{FF2B5EF4-FFF2-40B4-BE49-F238E27FC236}">
              <a16:creationId xmlns:a16="http://schemas.microsoft.com/office/drawing/2014/main" id="{3B994036-523F-4A60-831C-3EED45DCE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518160</xdr:colOff>
      <xdr:row>1</xdr:row>
      <xdr:rowOff>53340</xdr:rowOff>
    </xdr:from>
    <xdr:to>
      <xdr:col>5</xdr:col>
      <xdr:colOff>22860</xdr:colOff>
      <xdr:row>5</xdr:row>
      <xdr:rowOff>53340</xdr:rowOff>
    </xdr:to>
    <xdr:sp macro="" textlink="">
      <xdr:nvSpPr>
        <xdr:cNvPr id="2" name="Rectangle 1">
          <a:extLst>
            <a:ext uri="{FF2B5EF4-FFF2-40B4-BE49-F238E27FC236}">
              <a16:creationId xmlns:a16="http://schemas.microsoft.com/office/drawing/2014/main" id="{8E8A1159-8881-F0A3-AD97-A7445A18B6EE}"/>
            </a:ext>
          </a:extLst>
        </xdr:cNvPr>
        <xdr:cNvSpPr/>
      </xdr:nvSpPr>
      <xdr:spPr>
        <a:xfrm>
          <a:off x="518160" y="236220"/>
          <a:ext cx="2552700" cy="731520"/>
        </a:xfrm>
        <a:prstGeom prst="rect">
          <a:avLst/>
        </a:prstGeom>
        <a:effectLst>
          <a:glow rad="63500">
            <a:schemeClr val="accent1">
              <a:satMod val="175000"/>
              <a:alpha val="40000"/>
            </a:schemeClr>
          </a:glow>
          <a:reflection blurRad="6350" stA="52000" endA="300" endPos="35000" dir="5400000" sy="-100000" algn="bl" rotWithShape="0"/>
        </a:effectLst>
        <a:scene3d>
          <a:camera prst="perspectiveRight"/>
          <a:lightRig rig="threePt" dir="t"/>
        </a:scene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3200" b="1" i="1">
              <a:solidFill>
                <a:schemeClr val="bg2">
                  <a:lumMod val="10000"/>
                </a:schemeClr>
              </a:solidFill>
            </a:rPr>
            <a:t>DASHBOARD</a:t>
          </a:r>
        </a:p>
      </xdr:txBody>
    </xdr:sp>
    <xdr:clientData/>
  </xdr:twoCellAnchor>
  <xdr:twoCellAnchor>
    <xdr:from>
      <xdr:col>0</xdr:col>
      <xdr:colOff>373380</xdr:colOff>
      <xdr:row>6</xdr:row>
      <xdr:rowOff>99060</xdr:rowOff>
    </xdr:from>
    <xdr:to>
      <xdr:col>5</xdr:col>
      <xdr:colOff>15240</xdr:colOff>
      <xdr:row>25</xdr:row>
      <xdr:rowOff>167640</xdr:rowOff>
    </xdr:to>
    <xdr:sp macro="" textlink="">
      <xdr:nvSpPr>
        <xdr:cNvPr id="10" name="Rectangle 9">
          <a:extLst>
            <a:ext uri="{FF2B5EF4-FFF2-40B4-BE49-F238E27FC236}">
              <a16:creationId xmlns:a16="http://schemas.microsoft.com/office/drawing/2014/main" id="{7D9BAED6-BF38-ECEF-0708-4FCEF4A39BF7}"/>
            </a:ext>
          </a:extLst>
        </xdr:cNvPr>
        <xdr:cNvSpPr/>
      </xdr:nvSpPr>
      <xdr:spPr>
        <a:xfrm>
          <a:off x="373380" y="1196340"/>
          <a:ext cx="2689860" cy="3543300"/>
        </a:xfrm>
        <a:prstGeom prst="rect">
          <a:avLst/>
        </a:prstGeom>
        <a:ln>
          <a:solidFill>
            <a:schemeClr val="accent1"/>
          </a:solidFill>
        </a:ln>
        <a:effectLst>
          <a:glow rad="63500">
            <a:schemeClr val="accent3">
              <a:satMod val="175000"/>
              <a:alpha val="40000"/>
            </a:schemeClr>
          </a:glo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3200" b="1">
              <a:solidFill>
                <a:schemeClr val="bg2">
                  <a:lumMod val="10000"/>
                </a:schemeClr>
              </a:solidFill>
            </a:rPr>
            <a:t>TOTAL SALES</a:t>
          </a:r>
        </a:p>
        <a:p>
          <a:pPr algn="l"/>
          <a:r>
            <a:rPr lang="en-IN" sz="3200" b="1">
              <a:solidFill>
                <a:schemeClr val="bg2">
                  <a:lumMod val="10000"/>
                </a:schemeClr>
              </a:solidFill>
            </a:rPr>
            <a:t>USD(Million) </a:t>
          </a:r>
          <a:r>
            <a:rPr lang="en-IN" sz="3200" b="1" baseline="0">
              <a:solidFill>
                <a:schemeClr val="bg2">
                  <a:lumMod val="10000"/>
                </a:schemeClr>
              </a:solidFill>
            </a:rPr>
            <a:t>  </a:t>
          </a:r>
          <a:endParaRPr lang="en-IN" sz="3200" b="1">
            <a:solidFill>
              <a:schemeClr val="bg2">
                <a:lumMod val="10000"/>
              </a:schemeClr>
            </a:solidFill>
          </a:endParaRPr>
        </a:p>
      </xdr:txBody>
    </xdr:sp>
    <xdr:clientData/>
  </xdr:twoCellAnchor>
  <xdr:twoCellAnchor>
    <xdr:from>
      <xdr:col>0</xdr:col>
      <xdr:colOff>487680</xdr:colOff>
      <xdr:row>12</xdr:row>
      <xdr:rowOff>144780</xdr:rowOff>
    </xdr:from>
    <xdr:to>
      <xdr:col>4</xdr:col>
      <xdr:colOff>495300</xdr:colOff>
      <xdr:row>23</xdr:row>
      <xdr:rowOff>99060</xdr:rowOff>
    </xdr:to>
    <xdr:graphicFrame macro="">
      <xdr:nvGraphicFramePr>
        <xdr:cNvPr id="11" name="Chart 10">
          <a:extLst>
            <a:ext uri="{FF2B5EF4-FFF2-40B4-BE49-F238E27FC236}">
              <a16:creationId xmlns:a16="http://schemas.microsoft.com/office/drawing/2014/main" id="{30754143-5B2F-476A-86EA-5BAD1F2EA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refreshedDate="46005.780432638887" createdVersion="8" refreshedVersion="8" minRefreshableVersion="3" recordCount="20" xr:uid="{D9FB58CD-0FAE-4403-B2B7-1982A4E0C3C2}">
  <cacheSource type="worksheet">
    <worksheetSource ref="A2:I22" sheet="Sheet1"/>
  </cacheSource>
  <cacheFields count="9">
    <cacheField name="sr no" numFmtId="0">
      <sharedItems containsSemiMixedTypes="0" containsString="0" containsNumber="1" containsInteger="1" minValue="1" maxValue="20"/>
    </cacheField>
    <cacheField name="Trusted Customer" numFmtId="0">
      <sharedItems count="18">
        <s v="Aarav Mehta"/>
        <s v="Harsh Vora"/>
        <s v="Rohan Desai"/>
        <s v="Meera Iyer"/>
        <s v="Kunal Verma"/>
        <s v="Vivek Choudhary"/>
        <s v="Ishaan Kapoor"/>
        <s v="Tanvi Joshi"/>
        <s v="Neha Sharma"/>
        <s v="Arjun Khanna"/>
        <s v="Priya Nair"/>
        <s v="Pooja Reddy"/>
        <s v="Aditya Rao"/>
        <s v="Kavya Sinha"/>
        <s v="Manish Patel"/>
        <s v="Riya Malhotra"/>
        <s v="Sneha Kulkarni"/>
        <s v="Varun Bhatia"/>
      </sharedItems>
    </cacheField>
    <cacheField name="City" numFmtId="0">
      <sharedItems count="20">
        <s v="Mumbai"/>
        <s v="Patna"/>
        <s v="Thiruvananthapuram"/>
        <s v="Jaipur"/>
        <s v="Kochi"/>
        <s v="Nagpur"/>
        <s v="Indore"/>
        <s v="Surat"/>
        <s v="Chandigarh"/>
        <s v="Bhubaneswar"/>
        <s v="Varanasi"/>
        <s v="Guwahati"/>
        <s v="Pune"/>
        <s v="Mysuru"/>
        <s v="Ranchi"/>
        <s v="Jodhpur"/>
        <s v="Ahmedabad"/>
        <s v="Coimbatore"/>
        <s v="Lucknow"/>
        <s v="Visakhapatnam"/>
      </sharedItems>
    </cacheField>
    <cacheField name="year" numFmtId="0">
      <sharedItems containsSemiMixedTypes="0" containsString="0" containsNumber="1" containsInteger="1" minValue="2006" maxValue="2025" count="20">
        <n v="2006"/>
        <n v="2007"/>
        <n v="2008"/>
        <n v="2009"/>
        <n v="2010"/>
        <n v="2011"/>
        <n v="2012"/>
        <n v="2013"/>
        <n v="2014"/>
        <n v="2015"/>
        <n v="2016"/>
        <n v="2017"/>
        <n v="2018"/>
        <n v="2019"/>
        <n v="2020"/>
        <n v="2021"/>
        <n v="2022"/>
        <n v="2023"/>
        <n v="2024"/>
        <n v="2025"/>
      </sharedItems>
    </cacheField>
    <cacheField name="price" numFmtId="0">
      <sharedItems containsSemiMixedTypes="0" containsString="0" containsNumber="1" containsInteger="1" minValue="12000" maxValue="50000" count="20">
        <n v="12000"/>
        <n v="13500"/>
        <n v="15000"/>
        <n v="16000"/>
        <n v="17500"/>
        <n v="19000"/>
        <n v="21000"/>
        <n v="23000"/>
        <n v="25000"/>
        <n v="27000"/>
        <n v="29000"/>
        <n v="31000"/>
        <n v="33000"/>
        <n v="35000"/>
        <n v="37000"/>
        <n v="39000"/>
        <n v="42000"/>
        <n v="45000"/>
        <n v="48000"/>
        <n v="50000"/>
      </sharedItems>
    </cacheField>
    <cacheField name="profit" numFmtId="0">
      <sharedItems containsSemiMixedTypes="0" containsString="0" containsNumber="1" containsInteger="1" minValue="3500" maxValue="18000" count="20">
        <n v="3500"/>
        <n v="4200"/>
        <n v="4800"/>
        <n v="5200"/>
        <n v="6000"/>
        <n v="6500"/>
        <n v="7200"/>
        <n v="7800"/>
        <n v="8500"/>
        <n v="9000"/>
        <n v="9500"/>
        <n v="10000"/>
        <n v="11000"/>
        <n v="12000"/>
        <n v="13000"/>
        <n v="14000"/>
        <n v="15000"/>
        <n v="16000"/>
        <n v="17000"/>
        <n v="18000"/>
      </sharedItems>
    </cacheField>
    <cacheField name="buy" numFmtId="0">
      <sharedItems containsSemiMixedTypes="0" containsString="0" containsNumber="1" containsInteger="1" minValue="80" maxValue="260"/>
    </cacheField>
    <cacheField name="online" numFmtId="0">
      <sharedItems containsSemiMixedTypes="0" containsString="0" containsNumber="1" containsInteger="1" minValue="40" maxValue="170"/>
    </cacheField>
    <cacheField name="total" numFmtId="0">
      <sharedItems containsSemiMixedTypes="0" containsString="0" containsNumber="1" containsInteger="1" minValue="120" maxValue="430"/>
    </cacheField>
  </cacheFields>
  <extLst>
    <ext xmlns:x14="http://schemas.microsoft.com/office/spreadsheetml/2009/9/main" uri="{725AE2AE-9491-48be-B2B4-4EB974FC3084}">
      <x14:pivotCacheDefinition pivotCacheId="708174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x v="0"/>
    <x v="0"/>
    <x v="0"/>
    <x v="0"/>
    <n v="80"/>
    <n v="40"/>
    <n v="120"/>
  </r>
  <r>
    <n v="2"/>
    <x v="1"/>
    <x v="1"/>
    <x v="1"/>
    <x v="1"/>
    <x v="1"/>
    <n v="90"/>
    <n v="45"/>
    <n v="135"/>
  </r>
  <r>
    <n v="3"/>
    <x v="2"/>
    <x v="2"/>
    <x v="2"/>
    <x v="2"/>
    <x v="2"/>
    <n v="95"/>
    <n v="50"/>
    <n v="145"/>
  </r>
  <r>
    <n v="4"/>
    <x v="3"/>
    <x v="3"/>
    <x v="3"/>
    <x v="3"/>
    <x v="3"/>
    <n v="100"/>
    <n v="55"/>
    <n v="155"/>
  </r>
  <r>
    <n v="5"/>
    <x v="4"/>
    <x v="4"/>
    <x v="4"/>
    <x v="4"/>
    <x v="4"/>
    <n v="110"/>
    <n v="60"/>
    <n v="170"/>
  </r>
  <r>
    <n v="6"/>
    <x v="5"/>
    <x v="5"/>
    <x v="5"/>
    <x v="5"/>
    <x v="5"/>
    <n v="120"/>
    <n v="65"/>
    <n v="185"/>
  </r>
  <r>
    <n v="7"/>
    <x v="6"/>
    <x v="6"/>
    <x v="6"/>
    <x v="6"/>
    <x v="6"/>
    <n v="130"/>
    <n v="70"/>
    <n v="200"/>
  </r>
  <r>
    <n v="8"/>
    <x v="7"/>
    <x v="7"/>
    <x v="7"/>
    <x v="7"/>
    <x v="7"/>
    <n v="140"/>
    <n v="75"/>
    <n v="215"/>
  </r>
  <r>
    <n v="9"/>
    <x v="8"/>
    <x v="8"/>
    <x v="8"/>
    <x v="8"/>
    <x v="8"/>
    <n v="150"/>
    <n v="80"/>
    <n v="230"/>
  </r>
  <r>
    <n v="10"/>
    <x v="9"/>
    <x v="9"/>
    <x v="9"/>
    <x v="9"/>
    <x v="9"/>
    <n v="160"/>
    <n v="85"/>
    <n v="245"/>
  </r>
  <r>
    <n v="11"/>
    <x v="10"/>
    <x v="10"/>
    <x v="10"/>
    <x v="10"/>
    <x v="10"/>
    <n v="170"/>
    <n v="90"/>
    <n v="260"/>
  </r>
  <r>
    <n v="12"/>
    <x v="11"/>
    <x v="11"/>
    <x v="11"/>
    <x v="11"/>
    <x v="11"/>
    <n v="180"/>
    <n v="95"/>
    <n v="275"/>
  </r>
  <r>
    <n v="13"/>
    <x v="12"/>
    <x v="12"/>
    <x v="12"/>
    <x v="12"/>
    <x v="12"/>
    <n v="190"/>
    <n v="100"/>
    <n v="290"/>
  </r>
  <r>
    <n v="14"/>
    <x v="13"/>
    <x v="13"/>
    <x v="13"/>
    <x v="13"/>
    <x v="13"/>
    <n v="200"/>
    <n v="110"/>
    <n v="310"/>
  </r>
  <r>
    <n v="15"/>
    <x v="13"/>
    <x v="14"/>
    <x v="14"/>
    <x v="14"/>
    <x v="14"/>
    <n v="210"/>
    <n v="120"/>
    <n v="330"/>
  </r>
  <r>
    <n v="16"/>
    <x v="14"/>
    <x v="15"/>
    <x v="15"/>
    <x v="15"/>
    <x v="15"/>
    <n v="220"/>
    <n v="130"/>
    <n v="350"/>
  </r>
  <r>
    <n v="17"/>
    <x v="14"/>
    <x v="16"/>
    <x v="16"/>
    <x v="16"/>
    <x v="16"/>
    <n v="230"/>
    <n v="140"/>
    <n v="370"/>
  </r>
  <r>
    <n v="18"/>
    <x v="15"/>
    <x v="17"/>
    <x v="17"/>
    <x v="17"/>
    <x v="17"/>
    <n v="240"/>
    <n v="150"/>
    <n v="390"/>
  </r>
  <r>
    <n v="19"/>
    <x v="16"/>
    <x v="18"/>
    <x v="18"/>
    <x v="18"/>
    <x v="18"/>
    <n v="250"/>
    <n v="160"/>
    <n v="410"/>
  </r>
  <r>
    <n v="20"/>
    <x v="17"/>
    <x v="19"/>
    <x v="19"/>
    <x v="19"/>
    <x v="19"/>
    <n v="260"/>
    <n v="170"/>
    <n v="4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4B8C1-328A-4E24-8DD9-2F21D9EFC010}"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A29:A30" firstHeaderRow="1" firstDataRow="1" firstDataCol="0"/>
  <pivotFields count="9">
    <pivotField showAll="0"/>
    <pivotField showAll="0">
      <items count="19">
        <item x="0"/>
        <item x="12"/>
        <item x="9"/>
        <item x="1"/>
        <item x="6"/>
        <item x="13"/>
        <item x="4"/>
        <item x="14"/>
        <item x="3"/>
        <item x="8"/>
        <item x="11"/>
        <item x="10"/>
        <item x="15"/>
        <item x="2"/>
        <item x="16"/>
        <item x="7"/>
        <item x="17"/>
        <item x="5"/>
        <item t="default"/>
      </items>
    </pivotField>
    <pivotField showAll="0">
      <items count="21">
        <item x="16"/>
        <item x="9"/>
        <item x="8"/>
        <item x="17"/>
        <item x="11"/>
        <item x="6"/>
        <item x="3"/>
        <item x="15"/>
        <item x="4"/>
        <item x="18"/>
        <item x="0"/>
        <item x="13"/>
        <item x="5"/>
        <item x="1"/>
        <item x="12"/>
        <item x="14"/>
        <item x="7"/>
        <item x="2"/>
        <item x="10"/>
        <item x="19"/>
        <item t="default"/>
      </items>
    </pivotField>
    <pivotField showAll="0">
      <items count="21">
        <item h="1" x="0"/>
        <item h="1" x="1"/>
        <item h="1" x="2"/>
        <item x="3"/>
        <item h="1" x="4"/>
        <item h="1" x="5"/>
        <item h="1" x="6"/>
        <item h="1" x="7"/>
        <item h="1" x="8"/>
        <item h="1" x="9"/>
        <item h="1" x="10"/>
        <item h="1" x="11"/>
        <item h="1" x="12"/>
        <item h="1" x="13"/>
        <item h="1" x="14"/>
        <item h="1" x="15"/>
        <item h="1" x="16"/>
        <item h="1" x="17"/>
        <item h="1" x="18"/>
        <item h="1" x="19"/>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s>
  <rowItems count="1">
    <i/>
  </rowItems>
  <colItems count="1">
    <i/>
  </colItems>
  <dataFields count="1">
    <dataField name="Sum of total" fld="8" baseField="0" baseItem="0"/>
  </dataFields>
  <chartFormats count="7">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D1C54-34BB-4022-8D2A-CE5FD35DD542}"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6">
  <location ref="A21:C24" firstHeaderRow="0" firstDataRow="1" firstDataCol="1"/>
  <pivotFields count="9">
    <pivotField showAll="0"/>
    <pivotField axis="axisRow" showAll="0">
      <items count="19">
        <item x="0"/>
        <item x="12"/>
        <item x="9"/>
        <item x="1"/>
        <item x="6"/>
        <item x="13"/>
        <item x="4"/>
        <item x="14"/>
        <item x="3"/>
        <item x="8"/>
        <item x="11"/>
        <item x="10"/>
        <item x="15"/>
        <item x="2"/>
        <item x="16"/>
        <item x="7"/>
        <item x="17"/>
        <item x="5"/>
        <item t="default"/>
      </items>
    </pivotField>
    <pivotField axis="axisRow" showAll="0">
      <items count="21">
        <item x="16"/>
        <item x="9"/>
        <item x="8"/>
        <item x="17"/>
        <item x="11"/>
        <item x="6"/>
        <item x="3"/>
        <item x="15"/>
        <item x="4"/>
        <item x="18"/>
        <item x="0"/>
        <item x="13"/>
        <item x="5"/>
        <item x="1"/>
        <item x="12"/>
        <item x="14"/>
        <item x="7"/>
        <item x="2"/>
        <item x="10"/>
        <item x="19"/>
        <item t="default"/>
      </items>
    </pivotField>
    <pivotField dataField="1" showAll="0">
      <items count="21">
        <item h="1" x="0"/>
        <item h="1" x="1"/>
        <item h="1" x="2"/>
        <item x="3"/>
        <item h="1" x="4"/>
        <item h="1" x="5"/>
        <item h="1" x="6"/>
        <item h="1" x="7"/>
        <item h="1" x="8"/>
        <item h="1" x="9"/>
        <item h="1" x="10"/>
        <item h="1" x="11"/>
        <item h="1" x="12"/>
        <item h="1" x="13"/>
        <item h="1" x="14"/>
        <item h="1" x="15"/>
        <item h="1" x="16"/>
        <item h="1" x="17"/>
        <item h="1" x="18"/>
        <item h="1" x="19"/>
        <item t="default"/>
      </items>
    </pivotField>
    <pivotField dataField="1" showAll="0">
      <items count="21">
        <item x="0"/>
        <item x="1"/>
        <item x="2"/>
        <item x="3"/>
        <item x="4"/>
        <item x="5"/>
        <item x="6"/>
        <item x="7"/>
        <item x="8"/>
        <item x="9"/>
        <item x="10"/>
        <item x="11"/>
        <item x="12"/>
        <item x="13"/>
        <item x="14"/>
        <item x="15"/>
        <item x="16"/>
        <item x="17"/>
        <item x="18"/>
        <item x="19"/>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s>
  <rowFields count="2">
    <field x="1"/>
    <field x="2"/>
  </rowFields>
  <rowItems count="3">
    <i>
      <x v="8"/>
    </i>
    <i r="1">
      <x v="6"/>
    </i>
    <i t="grand">
      <x/>
    </i>
  </rowItems>
  <colFields count="1">
    <field x="-2"/>
  </colFields>
  <colItems count="2">
    <i>
      <x/>
    </i>
    <i i="1">
      <x v="1"/>
    </i>
  </colItems>
  <dataFields count="2">
    <dataField name="Sum of price" fld="4" baseField="0" baseItem="0"/>
    <dataField name="Sum of year" fld="3" baseField="0" baseItem="0"/>
  </dataFields>
  <chartFormats count="8">
    <chartFormat chart="12" format="1"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3">
          <reference field="4294967294" count="1" selected="0">
            <x v="0"/>
          </reference>
          <reference field="1" count="1" selected="0">
            <x v="0"/>
          </reference>
          <reference field="2" count="1" selected="0">
            <x v="1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3">
          <reference field="4294967294" count="1" selected="0">
            <x v="0"/>
          </reference>
          <reference field="1" count="1" selected="0">
            <x v="0"/>
          </reference>
          <reference field="2" count="1" selected="0">
            <x v="10"/>
          </reference>
        </references>
      </pivotArea>
    </chartFormat>
    <chartFormat chart="15" format="16" series="1">
      <pivotArea type="data" outline="0" fieldPosition="0">
        <references count="1">
          <reference field="4294967294" count="1" selected="0">
            <x v="1"/>
          </reference>
        </references>
      </pivotArea>
    </chartFormat>
    <chartFormat chart="15" format="18">
      <pivotArea type="data" outline="0" fieldPosition="0">
        <references count="3">
          <reference field="4294967294" count="1" selected="0">
            <x v="0"/>
          </reference>
          <reference field="1" count="1" selected="0">
            <x v="3"/>
          </reference>
          <reference field="2" count="1" selected="0">
            <x v="13"/>
          </reference>
        </references>
      </pivotArea>
    </chartFormat>
    <chartFormat chart="15" format="19">
      <pivotArea type="data" outline="0" fieldPosition="0">
        <references count="3">
          <reference field="4294967294" count="1" selected="0">
            <x v="1"/>
          </reference>
          <reference field="1" count="1" selected="0">
            <x v="3"/>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D53D7D-939B-4A35-B6D5-403D65E3291F}"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A13:D15" firstHeaderRow="0" firstDataRow="1" firstDataCol="1"/>
  <pivotFields count="9">
    <pivotField showAll="0"/>
    <pivotField showAll="0"/>
    <pivotField axis="axisRow" showAll="0">
      <items count="21">
        <item x="16"/>
        <item x="9"/>
        <item x="8"/>
        <item x="17"/>
        <item x="11"/>
        <item x="6"/>
        <item x="3"/>
        <item x="15"/>
        <item x="4"/>
        <item x="18"/>
        <item x="0"/>
        <item x="13"/>
        <item x="5"/>
        <item x="1"/>
        <item x="12"/>
        <item x="14"/>
        <item x="7"/>
        <item x="2"/>
        <item x="10"/>
        <item x="19"/>
        <item t="default"/>
      </items>
    </pivotField>
    <pivotField showAll="0">
      <items count="21">
        <item h="1" x="0"/>
        <item h="1" x="1"/>
        <item h="1" x="2"/>
        <item x="3"/>
        <item h="1" x="4"/>
        <item h="1" x="5"/>
        <item h="1" x="6"/>
        <item h="1" x="7"/>
        <item h="1" x="8"/>
        <item h="1" x="9"/>
        <item h="1" x="10"/>
        <item h="1" x="11"/>
        <item h="1" x="12"/>
        <item h="1" x="13"/>
        <item h="1" x="14"/>
        <item h="1" x="15"/>
        <item h="1" x="16"/>
        <item h="1" x="17"/>
        <item h="1" x="18"/>
        <item h="1" x="19"/>
        <item t="default"/>
      </items>
    </pivotField>
    <pivotField showAll="0">
      <items count="21">
        <item x="0"/>
        <item x="1"/>
        <item x="2"/>
        <item x="3"/>
        <item x="4"/>
        <item x="5"/>
        <item x="6"/>
        <item x="7"/>
        <item x="8"/>
        <item x="9"/>
        <item x="10"/>
        <item x="11"/>
        <item x="12"/>
        <item x="13"/>
        <item x="14"/>
        <item x="15"/>
        <item x="16"/>
        <item x="17"/>
        <item x="18"/>
        <item x="19"/>
        <item t="default"/>
      </items>
    </pivotField>
    <pivotField dataField="1" showAll="0">
      <items count="21">
        <item x="0"/>
        <item x="1"/>
        <item x="2"/>
        <item x="3"/>
        <item x="4"/>
        <item x="5"/>
        <item x="6"/>
        <item x="7"/>
        <item x="8"/>
        <item x="9"/>
        <item x="10"/>
        <item x="11"/>
        <item x="12"/>
        <item x="13"/>
        <item x="14"/>
        <item x="15"/>
        <item x="16"/>
        <item x="17"/>
        <item x="18"/>
        <item x="19"/>
        <item t="default"/>
      </items>
    </pivotField>
    <pivotField dataField="1" showAll="0"/>
    <pivotField dataField="1" showAll="0"/>
    <pivotField showAll="0"/>
  </pivotFields>
  <rowFields count="1">
    <field x="2"/>
  </rowFields>
  <rowItems count="2">
    <i>
      <x v="6"/>
    </i>
    <i t="grand">
      <x/>
    </i>
  </rowItems>
  <colFields count="1">
    <field x="-2"/>
  </colFields>
  <colItems count="3">
    <i>
      <x/>
    </i>
    <i i="1">
      <x v="1"/>
    </i>
    <i i="2">
      <x v="2"/>
    </i>
  </colItems>
  <dataFields count="3">
    <dataField name="Sum of buy" fld="6" baseField="0" baseItem="0"/>
    <dataField name="Sum of online" fld="7" baseField="0" baseItem="0"/>
    <dataField name="Sum of profit" fld="5"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0915E9-B5D3-45E1-96F4-D1A25D9FA3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3" firstHeaderRow="0" firstDataRow="1" firstDataCol="1"/>
  <pivotFields count="9">
    <pivotField showAll="0"/>
    <pivotField showAll="0"/>
    <pivotField showAll="0">
      <items count="21">
        <item x="16"/>
        <item x="9"/>
        <item x="8"/>
        <item x="17"/>
        <item x="11"/>
        <item x="6"/>
        <item x="3"/>
        <item x="15"/>
        <item x="4"/>
        <item x="18"/>
        <item x="0"/>
        <item x="13"/>
        <item x="5"/>
        <item x="1"/>
        <item x="12"/>
        <item x="14"/>
        <item x="7"/>
        <item x="2"/>
        <item x="10"/>
        <item x="19"/>
        <item t="default"/>
      </items>
    </pivotField>
    <pivotField dataField="1" showAll="0">
      <items count="21">
        <item h="1" x="0"/>
        <item h="1" x="1"/>
        <item h="1" x="2"/>
        <item x="3"/>
        <item h="1" x="4"/>
        <item h="1" x="5"/>
        <item h="1" x="6"/>
        <item h="1" x="7"/>
        <item h="1" x="8"/>
        <item h="1" x="9"/>
        <item h="1" x="10"/>
        <item h="1" x="11"/>
        <item h="1" x="12"/>
        <item h="1" x="13"/>
        <item h="1" x="14"/>
        <item h="1" x="15"/>
        <item h="1" x="16"/>
        <item h="1" x="17"/>
        <item h="1" x="18"/>
        <item h="1" x="19"/>
        <item t="default"/>
      </items>
    </pivotField>
    <pivotField axis="axisRow" showAll="0">
      <items count="21">
        <item x="0"/>
        <item x="1"/>
        <item x="2"/>
        <item x="3"/>
        <item x="4"/>
        <item x="5"/>
        <item x="6"/>
        <item x="7"/>
        <item x="8"/>
        <item x="9"/>
        <item x="10"/>
        <item x="11"/>
        <item x="12"/>
        <item x="13"/>
        <item x="14"/>
        <item x="15"/>
        <item x="16"/>
        <item x="17"/>
        <item x="18"/>
        <item x="19"/>
        <item t="default"/>
      </items>
    </pivotField>
    <pivotField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s>
  <rowFields count="1">
    <field x="4"/>
  </rowFields>
  <rowItems count="2">
    <i>
      <x v="3"/>
    </i>
    <i t="grand">
      <x/>
    </i>
  </rowItems>
  <colFields count="1">
    <field x="-2"/>
  </colFields>
  <colItems count="3">
    <i>
      <x/>
    </i>
    <i i="1">
      <x v="1"/>
    </i>
    <i i="2">
      <x v="2"/>
    </i>
  </colItems>
  <dataFields count="3">
    <dataField name="Sum of year" fld="3" baseField="0" baseItem="0"/>
    <dataField name="Sum of profit" fld="5" baseField="0" baseItem="0"/>
    <dataField name="Sum of total" fld="8" baseField="0" baseItem="0"/>
  </dataField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2ACDC51-D4F3-47B0-BAA9-036D9AF6A333}" sourceName="City">
  <pivotTables>
    <pivotTable tabId="6" name="PivotTable3"/>
    <pivotTable tabId="6" name="PivotTable1"/>
    <pivotTable tabId="6" name="PivotTable4"/>
    <pivotTable tabId="6" name="PivotTable2"/>
  </pivotTables>
  <data>
    <tabular pivotCacheId="708174094">
      <items count="20">
        <i x="3" s="1"/>
        <i x="16" s="1" nd="1"/>
        <i x="9" s="1" nd="1"/>
        <i x="8" s="1" nd="1"/>
        <i x="17" s="1" nd="1"/>
        <i x="11" s="1" nd="1"/>
        <i x="6" s="1" nd="1"/>
        <i x="15" s="1" nd="1"/>
        <i x="4" s="1" nd="1"/>
        <i x="18" s="1" nd="1"/>
        <i x="0" s="1" nd="1"/>
        <i x="13" s="1" nd="1"/>
        <i x="5" s="1" nd="1"/>
        <i x="1" s="1" nd="1"/>
        <i x="12" s="1" nd="1"/>
        <i x="14" s="1" nd="1"/>
        <i x="7" s="1" nd="1"/>
        <i x="2" s="1" nd="1"/>
        <i x="10" s="1" nd="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27033BF-5377-4A78-B204-6900FE25A836}" sourceName="profit">
  <pivotTables>
    <pivotTable tabId="6" name="PivotTable3"/>
    <pivotTable tabId="6" name="PivotTable1"/>
    <pivotTable tabId="6" name="PivotTable4"/>
    <pivotTable tabId="6" name="PivotTable2"/>
  </pivotTables>
  <data>
    <tabular pivotCacheId="708174094">
      <items count="20">
        <i x="3" s="1"/>
        <i x="0" s="1" nd="1"/>
        <i x="1" s="1" nd="1"/>
        <i x="2" s="1" nd="1"/>
        <i x="4" s="1" nd="1"/>
        <i x="5" s="1" nd="1"/>
        <i x="6" s="1" nd="1"/>
        <i x="7" s="1" nd="1"/>
        <i x="8" s="1" nd="1"/>
        <i x="9" s="1" nd="1"/>
        <i x="10" s="1" nd="1"/>
        <i x="11" s="1" nd="1"/>
        <i x="12" s="1" nd="1"/>
        <i x="13" s="1" nd="1"/>
        <i x="14" s="1" nd="1"/>
        <i x="15" s="1" nd="1"/>
        <i x="16" s="1" nd="1"/>
        <i x="17" s="1" nd="1"/>
        <i x="18" s="1" nd="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7E2A00-A8F8-4C8C-8E47-BA5AC650BA58}" sourceName="year">
  <pivotTables>
    <pivotTable tabId="6" name="PivotTable3"/>
    <pivotTable tabId="6" name="PivotTable1"/>
    <pivotTable tabId="6" name="PivotTable4"/>
    <pivotTable tabId="6" name="PivotTable2"/>
  </pivotTables>
  <data>
    <tabular pivotCacheId="708174094">
      <items count="20">
        <i x="0"/>
        <i x="1"/>
        <i x="2"/>
        <i x="3" s="1"/>
        <i x="4"/>
        <i x="5"/>
        <i x="6"/>
        <i x="7"/>
        <i x="8"/>
        <i x="9"/>
        <i x="10"/>
        <i x="11"/>
        <i x="12"/>
        <i x="13"/>
        <i x="14"/>
        <i x="15"/>
        <i x="16"/>
        <i x="17"/>
        <i x="18"/>
        <i x="1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CAE190F-1B32-4633-BA45-47D5C904D3AB}" cache="Slicer_City" caption="City" rowHeight="234950"/>
  <slicer name="profit" xr10:uid="{3E0515E5-9FF9-4A5D-8150-21956464346C}" cache="Slicer_profit" caption="profit" rowHeight="234950"/>
  <slicer name="year" xr10:uid="{E9D7BA35-9B49-4745-B75F-6C6DAD22409E}"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676068-A7CE-426C-AED8-2742908A3550}" name="Table1" displayName="Table1" ref="A2:I24" totalsRowShown="0" headerRowDxfId="12" dataDxfId="10" headerRowBorderDxfId="11" tableBorderDxfId="9">
  <autoFilter ref="A2:I24" xr:uid="{54676068-A7CE-426C-AED8-2742908A3550}"/>
  <tableColumns count="9">
    <tableColumn id="1" xr3:uid="{272B6A84-C1FE-4A40-829C-7B866423D40F}" name="sr no" dataDxfId="8"/>
    <tableColumn id="2" xr3:uid="{7F6517EF-47A7-40E2-B940-BE96185BF73E}" name="Trusted Customer" dataDxfId="7"/>
    <tableColumn id="9" xr3:uid="{AF598906-4B48-41D3-AB9A-9D6F537B966C}" name="City" dataDxfId="6"/>
    <tableColumn id="3" xr3:uid="{138F4E6C-9ACD-4746-ABD1-D0D2DD31E5CB}" name="year" dataDxfId="5"/>
    <tableColumn id="4" xr3:uid="{DE498CB1-38DE-446C-8568-B31C10B1317E}" name="price" dataDxfId="4"/>
    <tableColumn id="5" xr3:uid="{426977E3-ADBF-4B92-ABC5-689B66F54371}" name="profit" dataDxfId="3"/>
    <tableColumn id="6" xr3:uid="{1CBA57A1-8EA0-4472-B2D6-7CDD53C2AF73}" name="buy" dataDxfId="2"/>
    <tableColumn id="7" xr3:uid="{EAF4A2F4-E6CA-4AC1-A0D8-7A1102D8D957}" name="online" dataDxfId="1"/>
    <tableColumn id="8" xr3:uid="{6B07F066-6A30-4473-B529-9F107A72C652}" name="total"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35BE-AB39-4A40-BC6A-13936520ADC8}">
  <dimension ref="A2:K37"/>
  <sheetViews>
    <sheetView workbookViewId="0">
      <selection activeCell="K8" sqref="K8"/>
    </sheetView>
  </sheetViews>
  <sheetFormatPr defaultRowHeight="14.4" x14ac:dyDescent="0.3"/>
  <cols>
    <col min="1" max="1" width="8.88671875" style="1"/>
    <col min="2" max="3" width="17.77734375" style="1" customWidth="1"/>
    <col min="4" max="4" width="8.88671875" style="4"/>
    <col min="5" max="16384" width="8.88671875" style="1"/>
  </cols>
  <sheetData>
    <row r="2" spans="1:11" ht="30.6" customHeight="1" x14ac:dyDescent="0.3">
      <c r="A2" s="5" t="s">
        <v>0</v>
      </c>
      <c r="B2" s="6" t="s">
        <v>7</v>
      </c>
      <c r="C2" s="6" t="s">
        <v>28</v>
      </c>
      <c r="D2" s="7" t="s">
        <v>1</v>
      </c>
      <c r="E2" s="7" t="s">
        <v>2</v>
      </c>
      <c r="F2" s="7" t="s">
        <v>3</v>
      </c>
      <c r="G2" s="7" t="s">
        <v>4</v>
      </c>
      <c r="H2" s="7" t="s">
        <v>5</v>
      </c>
      <c r="I2" s="8" t="s">
        <v>6</v>
      </c>
      <c r="J2" s="2"/>
    </row>
    <row r="3" spans="1:11" x14ac:dyDescent="0.3">
      <c r="A3" s="9">
        <v>1</v>
      </c>
      <c r="B3" s="18" t="s">
        <v>8</v>
      </c>
      <c r="C3" s="10" t="s">
        <v>29</v>
      </c>
      <c r="D3" s="11">
        <v>2006</v>
      </c>
      <c r="E3" s="11">
        <v>12000</v>
      </c>
      <c r="F3" s="11">
        <v>3500</v>
      </c>
      <c r="G3" s="11">
        <v>80</v>
      </c>
      <c r="H3" s="11">
        <v>40</v>
      </c>
      <c r="I3" s="12">
        <v>120</v>
      </c>
      <c r="J3" s="3"/>
    </row>
    <row r="4" spans="1:11" x14ac:dyDescent="0.3">
      <c r="A4" s="9">
        <v>2</v>
      </c>
      <c r="B4" s="13" t="s">
        <v>22</v>
      </c>
      <c r="C4" s="10" t="s">
        <v>47</v>
      </c>
      <c r="D4" s="11">
        <v>2007</v>
      </c>
      <c r="E4" s="11">
        <v>13500</v>
      </c>
      <c r="F4" s="11">
        <v>4200</v>
      </c>
      <c r="G4" s="11">
        <v>90</v>
      </c>
      <c r="H4" s="11">
        <v>45</v>
      </c>
      <c r="I4" s="12">
        <v>135</v>
      </c>
      <c r="J4" s="3"/>
    </row>
    <row r="5" spans="1:11" x14ac:dyDescent="0.3">
      <c r="A5" s="9">
        <v>3</v>
      </c>
      <c r="B5" s="18" t="s">
        <v>9</v>
      </c>
      <c r="C5" s="10" t="s">
        <v>48</v>
      </c>
      <c r="D5" s="11">
        <v>2008</v>
      </c>
      <c r="E5" s="11">
        <v>15000</v>
      </c>
      <c r="F5" s="11">
        <v>4800</v>
      </c>
      <c r="G5" s="11">
        <v>95</v>
      </c>
      <c r="H5" s="11">
        <v>50</v>
      </c>
      <c r="I5" s="12">
        <v>145</v>
      </c>
      <c r="J5" s="3"/>
    </row>
    <row r="6" spans="1:11" x14ac:dyDescent="0.3">
      <c r="A6" s="9">
        <v>4</v>
      </c>
      <c r="B6" s="13" t="s">
        <v>23</v>
      </c>
      <c r="C6" s="10" t="s">
        <v>30</v>
      </c>
      <c r="D6" s="11">
        <v>2009</v>
      </c>
      <c r="E6" s="11">
        <v>16000</v>
      </c>
      <c r="F6" s="11">
        <v>5200</v>
      </c>
      <c r="G6" s="11">
        <v>100</v>
      </c>
      <c r="H6" s="11">
        <v>55</v>
      </c>
      <c r="I6" s="12">
        <v>155</v>
      </c>
      <c r="J6" s="3"/>
      <c r="K6"/>
    </row>
    <row r="7" spans="1:11" x14ac:dyDescent="0.3">
      <c r="A7" s="9">
        <v>5</v>
      </c>
      <c r="B7" s="18" t="s">
        <v>10</v>
      </c>
      <c r="C7" s="10" t="s">
        <v>31</v>
      </c>
      <c r="D7" s="11">
        <v>2010</v>
      </c>
      <c r="E7" s="11">
        <v>17500</v>
      </c>
      <c r="F7" s="11">
        <v>6000</v>
      </c>
      <c r="G7" s="11">
        <v>110</v>
      </c>
      <c r="H7" s="11">
        <v>60</v>
      </c>
      <c r="I7" s="12">
        <v>170</v>
      </c>
      <c r="J7" s="3"/>
    </row>
    <row r="8" spans="1:11" x14ac:dyDescent="0.3">
      <c r="A8" s="9">
        <v>6</v>
      </c>
      <c r="B8" s="13" t="s">
        <v>24</v>
      </c>
      <c r="C8" s="10" t="s">
        <v>32</v>
      </c>
      <c r="D8" s="11">
        <v>2011</v>
      </c>
      <c r="E8" s="11">
        <v>19000</v>
      </c>
      <c r="F8" s="11">
        <v>6500</v>
      </c>
      <c r="G8" s="11">
        <v>120</v>
      </c>
      <c r="H8" s="11">
        <v>65</v>
      </c>
      <c r="I8" s="12">
        <v>185</v>
      </c>
      <c r="J8" s="3"/>
    </row>
    <row r="9" spans="1:11" x14ac:dyDescent="0.3">
      <c r="A9" s="9">
        <v>7</v>
      </c>
      <c r="B9" s="18" t="s">
        <v>11</v>
      </c>
      <c r="C9" s="10" t="s">
        <v>33</v>
      </c>
      <c r="D9" s="11">
        <v>2012</v>
      </c>
      <c r="E9" s="11">
        <v>21000</v>
      </c>
      <c r="F9" s="11">
        <v>7200</v>
      </c>
      <c r="G9" s="11">
        <v>130</v>
      </c>
      <c r="H9" s="11">
        <v>70</v>
      </c>
      <c r="I9" s="12">
        <v>200</v>
      </c>
      <c r="J9" s="3"/>
      <c r="K9"/>
    </row>
    <row r="10" spans="1:11" x14ac:dyDescent="0.3">
      <c r="A10" s="9">
        <v>8</v>
      </c>
      <c r="B10" s="13" t="s">
        <v>25</v>
      </c>
      <c r="C10" s="10" t="s">
        <v>34</v>
      </c>
      <c r="D10" s="11">
        <v>2013</v>
      </c>
      <c r="E10" s="11">
        <v>23000</v>
      </c>
      <c r="F10" s="11">
        <v>7800</v>
      </c>
      <c r="G10" s="11">
        <v>140</v>
      </c>
      <c r="H10" s="11">
        <v>75</v>
      </c>
      <c r="I10" s="12">
        <v>215</v>
      </c>
      <c r="J10" s="3"/>
    </row>
    <row r="11" spans="1:11" x14ac:dyDescent="0.3">
      <c r="A11" s="9">
        <v>9</v>
      </c>
      <c r="B11" s="18" t="s">
        <v>12</v>
      </c>
      <c r="C11" s="10" t="s">
        <v>35</v>
      </c>
      <c r="D11" s="11">
        <v>2014</v>
      </c>
      <c r="E11" s="11">
        <v>25000</v>
      </c>
      <c r="F11" s="11">
        <v>8500</v>
      </c>
      <c r="G11" s="11">
        <v>150</v>
      </c>
      <c r="H11" s="11">
        <v>80</v>
      </c>
      <c r="I11" s="12">
        <v>230</v>
      </c>
      <c r="J11" s="3"/>
      <c r="K11"/>
    </row>
    <row r="12" spans="1:11" x14ac:dyDescent="0.3">
      <c r="A12" s="9">
        <v>10</v>
      </c>
      <c r="B12" s="13" t="s">
        <v>26</v>
      </c>
      <c r="C12" s="10" t="s">
        <v>36</v>
      </c>
      <c r="D12" s="11">
        <v>2015</v>
      </c>
      <c r="E12" s="11">
        <v>27000</v>
      </c>
      <c r="F12" s="11">
        <v>9000</v>
      </c>
      <c r="G12" s="11">
        <v>160</v>
      </c>
      <c r="H12" s="11">
        <v>85</v>
      </c>
      <c r="I12" s="12">
        <v>245</v>
      </c>
      <c r="J12" s="3"/>
    </row>
    <row r="13" spans="1:11" x14ac:dyDescent="0.3">
      <c r="A13" s="9">
        <v>11</v>
      </c>
      <c r="B13" s="18" t="s">
        <v>13</v>
      </c>
      <c r="C13" s="10" t="s">
        <v>37</v>
      </c>
      <c r="D13" s="11">
        <v>2016</v>
      </c>
      <c r="E13" s="11">
        <v>29000</v>
      </c>
      <c r="F13" s="11">
        <v>9500</v>
      </c>
      <c r="G13" s="11">
        <v>170</v>
      </c>
      <c r="H13" s="11">
        <v>90</v>
      </c>
      <c r="I13" s="12">
        <v>260</v>
      </c>
      <c r="J13" s="3"/>
      <c r="K13"/>
    </row>
    <row r="14" spans="1:11" x14ac:dyDescent="0.3">
      <c r="A14" s="9">
        <v>12</v>
      </c>
      <c r="B14" s="13" t="s">
        <v>27</v>
      </c>
      <c r="C14" s="10" t="s">
        <v>38</v>
      </c>
      <c r="D14" s="11">
        <v>2017</v>
      </c>
      <c r="E14" s="11">
        <v>31000</v>
      </c>
      <c r="F14" s="11">
        <v>10000</v>
      </c>
      <c r="G14" s="11">
        <v>180</v>
      </c>
      <c r="H14" s="11">
        <v>95</v>
      </c>
      <c r="I14" s="12">
        <v>275</v>
      </c>
      <c r="J14" s="3"/>
    </row>
    <row r="15" spans="1:11" x14ac:dyDescent="0.3">
      <c r="A15" s="9">
        <v>13</v>
      </c>
      <c r="B15" s="18" t="s">
        <v>14</v>
      </c>
      <c r="C15" s="10" t="s">
        <v>39</v>
      </c>
      <c r="D15" s="11">
        <v>2018</v>
      </c>
      <c r="E15" s="11">
        <v>33000</v>
      </c>
      <c r="F15" s="11">
        <v>11000</v>
      </c>
      <c r="G15" s="11">
        <v>190</v>
      </c>
      <c r="H15" s="11">
        <v>100</v>
      </c>
      <c r="I15" s="12">
        <v>290</v>
      </c>
      <c r="J15" s="3"/>
    </row>
    <row r="16" spans="1:11" x14ac:dyDescent="0.3">
      <c r="A16" s="9">
        <v>14</v>
      </c>
      <c r="B16" s="13" t="s">
        <v>15</v>
      </c>
      <c r="C16" s="10" t="s">
        <v>40</v>
      </c>
      <c r="D16" s="11">
        <v>2019</v>
      </c>
      <c r="E16" s="11">
        <v>35000</v>
      </c>
      <c r="F16" s="11">
        <v>12000</v>
      </c>
      <c r="G16" s="11">
        <v>200</v>
      </c>
      <c r="H16" s="11">
        <v>110</v>
      </c>
      <c r="I16" s="12">
        <v>310</v>
      </c>
      <c r="J16" s="3"/>
    </row>
    <row r="17" spans="1:11" x14ac:dyDescent="0.3">
      <c r="A17" s="9">
        <v>15</v>
      </c>
      <c r="B17" s="18" t="s">
        <v>15</v>
      </c>
      <c r="C17" s="10" t="s">
        <v>41</v>
      </c>
      <c r="D17" s="11">
        <v>2020</v>
      </c>
      <c r="E17" s="11">
        <v>37000</v>
      </c>
      <c r="F17" s="11">
        <v>13000</v>
      </c>
      <c r="G17" s="11">
        <v>210</v>
      </c>
      <c r="H17" s="11">
        <v>120</v>
      </c>
      <c r="I17" s="12">
        <v>330</v>
      </c>
      <c r="J17" s="3"/>
      <c r="K17" s="2"/>
    </row>
    <row r="18" spans="1:11" x14ac:dyDescent="0.3">
      <c r="A18" s="9">
        <v>16</v>
      </c>
      <c r="B18" s="13" t="s">
        <v>16</v>
      </c>
      <c r="C18" s="10" t="s">
        <v>42</v>
      </c>
      <c r="D18" s="11">
        <v>2021</v>
      </c>
      <c r="E18" s="11">
        <v>39000</v>
      </c>
      <c r="F18" s="11">
        <v>14000</v>
      </c>
      <c r="G18" s="11">
        <v>220</v>
      </c>
      <c r="H18" s="11">
        <v>130</v>
      </c>
      <c r="I18" s="12">
        <v>350</v>
      </c>
      <c r="J18" s="3"/>
      <c r="K18" s="3"/>
    </row>
    <row r="19" spans="1:11" x14ac:dyDescent="0.3">
      <c r="A19" s="9">
        <v>17</v>
      </c>
      <c r="B19" s="18" t="s">
        <v>16</v>
      </c>
      <c r="C19" s="10" t="s">
        <v>43</v>
      </c>
      <c r="D19" s="11">
        <v>2022</v>
      </c>
      <c r="E19" s="11">
        <v>42000</v>
      </c>
      <c r="F19" s="11">
        <v>15000</v>
      </c>
      <c r="G19" s="11">
        <v>230</v>
      </c>
      <c r="H19" s="11">
        <v>140</v>
      </c>
      <c r="I19" s="12">
        <v>370</v>
      </c>
      <c r="J19" s="3"/>
      <c r="K19" s="3"/>
    </row>
    <row r="20" spans="1:11" x14ac:dyDescent="0.3">
      <c r="A20" s="9">
        <v>18</v>
      </c>
      <c r="B20" s="18" t="s">
        <v>19</v>
      </c>
      <c r="C20" s="10" t="s">
        <v>44</v>
      </c>
      <c r="D20" s="11">
        <v>2023</v>
      </c>
      <c r="E20" s="11">
        <v>45000</v>
      </c>
      <c r="F20" s="11">
        <v>16000</v>
      </c>
      <c r="G20" s="11">
        <v>240</v>
      </c>
      <c r="H20" s="11">
        <v>150</v>
      </c>
      <c r="I20" s="12">
        <v>390</v>
      </c>
      <c r="J20" s="3"/>
      <c r="K20" s="3"/>
    </row>
    <row r="21" spans="1:11" x14ac:dyDescent="0.3">
      <c r="A21" s="9">
        <v>19</v>
      </c>
      <c r="B21" s="18" t="s">
        <v>17</v>
      </c>
      <c r="C21" s="10" t="s">
        <v>45</v>
      </c>
      <c r="D21" s="11">
        <v>2024</v>
      </c>
      <c r="E21" s="11">
        <v>48000</v>
      </c>
      <c r="F21" s="11">
        <v>17000</v>
      </c>
      <c r="G21" s="11">
        <v>250</v>
      </c>
      <c r="H21" s="11">
        <v>160</v>
      </c>
      <c r="I21" s="12">
        <v>410</v>
      </c>
      <c r="J21" s="3"/>
      <c r="K21" s="3"/>
    </row>
    <row r="22" spans="1:11" x14ac:dyDescent="0.3">
      <c r="A22" s="14">
        <v>20</v>
      </c>
      <c r="B22" s="19" t="s">
        <v>18</v>
      </c>
      <c r="C22" s="10" t="s">
        <v>46</v>
      </c>
      <c r="D22" s="16">
        <v>2025</v>
      </c>
      <c r="E22" s="16">
        <v>50000</v>
      </c>
      <c r="F22" s="16">
        <v>18000</v>
      </c>
      <c r="G22" s="16">
        <v>260</v>
      </c>
      <c r="H22" s="16">
        <v>170</v>
      </c>
      <c r="I22" s="17">
        <v>430</v>
      </c>
      <c r="J22" s="3"/>
      <c r="K22" s="3"/>
    </row>
    <row r="23" spans="1:11" x14ac:dyDescent="0.3">
      <c r="A23" s="9"/>
      <c r="B23" s="10"/>
      <c r="C23" s="10"/>
      <c r="D23" s="11"/>
      <c r="E23" s="11"/>
      <c r="F23" s="11"/>
      <c r="G23" s="11"/>
      <c r="H23" s="11"/>
      <c r="I23" s="12"/>
      <c r="J23" s="3"/>
      <c r="K23" s="3"/>
    </row>
    <row r="24" spans="1:11" x14ac:dyDescent="0.3">
      <c r="A24" s="9"/>
      <c r="B24" s="10"/>
      <c r="C24" s="15"/>
      <c r="D24" s="11"/>
      <c r="E24" s="11"/>
      <c r="F24" s="11"/>
      <c r="G24" s="11"/>
      <c r="H24" s="11"/>
      <c r="I24" s="12"/>
      <c r="J24" s="3"/>
      <c r="K24" s="3"/>
    </row>
    <row r="25" spans="1:11" x14ac:dyDescent="0.3">
      <c r="D25" s="3"/>
      <c r="E25" s="3"/>
      <c r="F25" s="3"/>
      <c r="G25" s="3"/>
      <c r="H25" s="3"/>
      <c r="I25" s="3"/>
      <c r="J25" s="3"/>
      <c r="K25" s="3"/>
    </row>
    <row r="26" spans="1:11" x14ac:dyDescent="0.3">
      <c r="D26" s="3"/>
      <c r="E26" s="3"/>
      <c r="F26" s="3"/>
      <c r="G26" s="3"/>
      <c r="H26" s="3"/>
      <c r="I26" s="3"/>
      <c r="J26" s="3"/>
      <c r="K26" s="3"/>
    </row>
    <row r="27" spans="1:11" x14ac:dyDescent="0.3">
      <c r="B27" s="1" t="s">
        <v>20</v>
      </c>
      <c r="D27" s="3"/>
      <c r="E27" s="3"/>
      <c r="F27" s="3"/>
      <c r="G27" s="3"/>
      <c r="H27" s="3"/>
      <c r="I27" s="3"/>
      <c r="J27" s="3"/>
      <c r="K27" s="3"/>
    </row>
    <row r="28" spans="1:11" x14ac:dyDescent="0.3">
      <c r="D28" s="3"/>
      <c r="E28" s="3"/>
      <c r="F28" s="3"/>
      <c r="G28" s="3"/>
      <c r="H28" s="3"/>
      <c r="I28" s="3"/>
      <c r="J28" s="3"/>
      <c r="K28" s="3"/>
    </row>
    <row r="29" spans="1:11" x14ac:dyDescent="0.3">
      <c r="B29" s="1" t="s">
        <v>21</v>
      </c>
      <c r="D29" s="3"/>
      <c r="E29" s="3"/>
      <c r="F29" s="3"/>
      <c r="G29" s="3"/>
      <c r="H29" s="3"/>
      <c r="I29" s="3"/>
      <c r="J29" s="3"/>
      <c r="K29" s="3"/>
    </row>
    <row r="30" spans="1:11" x14ac:dyDescent="0.3">
      <c r="D30" s="3"/>
      <c r="E30" s="3"/>
      <c r="F30" s="3"/>
      <c r="G30" s="3"/>
      <c r="H30" s="3"/>
      <c r="I30" s="3"/>
      <c r="J30" s="3"/>
      <c r="K30" s="3"/>
    </row>
    <row r="31" spans="1:11" x14ac:dyDescent="0.3">
      <c r="D31" s="3"/>
      <c r="E31" s="3"/>
      <c r="F31" s="3"/>
      <c r="G31" s="3"/>
      <c r="H31" s="3"/>
      <c r="I31" s="3"/>
      <c r="J31" s="3"/>
      <c r="K31" s="3"/>
    </row>
    <row r="32" spans="1:11" x14ac:dyDescent="0.3">
      <c r="D32" s="3"/>
      <c r="E32" s="3"/>
      <c r="F32" s="3"/>
      <c r="G32" s="3"/>
      <c r="H32" s="3"/>
      <c r="I32" s="3"/>
      <c r="J32" s="3"/>
      <c r="K32" s="3"/>
    </row>
    <row r="33" spans="4:11" x14ac:dyDescent="0.3">
      <c r="D33" s="3"/>
      <c r="E33" s="3"/>
      <c r="F33" s="3"/>
      <c r="G33" s="3"/>
      <c r="H33" s="3"/>
      <c r="I33" s="3"/>
      <c r="J33" s="3"/>
      <c r="K33" s="3"/>
    </row>
    <row r="34" spans="4:11" x14ac:dyDescent="0.3">
      <c r="D34" s="3"/>
      <c r="E34" s="3"/>
      <c r="F34" s="3"/>
      <c r="G34" s="3"/>
      <c r="H34" s="3"/>
      <c r="I34" s="3"/>
      <c r="J34" s="3"/>
      <c r="K34" s="3"/>
    </row>
    <row r="35" spans="4:11" x14ac:dyDescent="0.3">
      <c r="D35" s="3"/>
      <c r="E35" s="3"/>
      <c r="F35" s="3"/>
      <c r="G35" s="3"/>
      <c r="H35" s="3"/>
      <c r="I35" s="3"/>
      <c r="J35" s="3"/>
      <c r="K35" s="3"/>
    </row>
    <row r="36" spans="4:11" x14ac:dyDescent="0.3">
      <c r="D36" s="3"/>
      <c r="E36" s="3"/>
      <c r="F36" s="3"/>
      <c r="G36" s="3"/>
      <c r="H36" s="3"/>
      <c r="I36" s="3"/>
      <c r="J36" s="3"/>
      <c r="K36" s="3"/>
    </row>
    <row r="37" spans="4:11" x14ac:dyDescent="0.3">
      <c r="D37" s="3">
        <v>20</v>
      </c>
      <c r="E37" s="3">
        <v>2025</v>
      </c>
      <c r="F37" s="3">
        <v>50000</v>
      </c>
      <c r="G37" s="3">
        <v>18000</v>
      </c>
      <c r="H37" s="3">
        <v>260</v>
      </c>
      <c r="I37" s="3">
        <v>170</v>
      </c>
      <c r="J37" s="3"/>
      <c r="K37" s="3">
        <v>430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0543E-7F1D-43B4-B592-A9C74AF07E07}">
  <dimension ref="A1:G30"/>
  <sheetViews>
    <sheetView topLeftCell="A20" workbookViewId="0">
      <selection activeCell="A29" sqref="A29:A31"/>
    </sheetView>
  </sheetViews>
  <sheetFormatPr defaultRowHeight="14.4" x14ac:dyDescent="0.3"/>
  <cols>
    <col min="1" max="1" width="11.33203125" bestFit="1" customWidth="1"/>
    <col min="2" max="2" width="11.5546875" bestFit="1" customWidth="1"/>
    <col min="3" max="3" width="11.109375" bestFit="1" customWidth="1"/>
    <col min="4" max="4" width="12.109375" bestFit="1" customWidth="1"/>
    <col min="5" max="60" width="15.5546875" bestFit="1" customWidth="1"/>
    <col min="61" max="61" width="16.33203125" bestFit="1" customWidth="1"/>
    <col min="62" max="62" width="16.88671875" bestFit="1" customWidth="1"/>
    <col min="63" max="63" width="16.109375" bestFit="1" customWidth="1"/>
  </cols>
  <sheetData>
    <row r="1" spans="1:7" x14ac:dyDescent="0.3">
      <c r="A1" s="20" t="s">
        <v>53</v>
      </c>
      <c r="B1" t="s">
        <v>49</v>
      </c>
      <c r="C1" t="s">
        <v>51</v>
      </c>
      <c r="D1" t="s">
        <v>52</v>
      </c>
    </row>
    <row r="2" spans="1:7" x14ac:dyDescent="0.3">
      <c r="A2" s="21">
        <v>16000</v>
      </c>
      <c r="B2" s="23">
        <v>2009</v>
      </c>
      <c r="C2" s="23">
        <v>5200</v>
      </c>
      <c r="D2" s="23">
        <v>155</v>
      </c>
    </row>
    <row r="3" spans="1:7" x14ac:dyDescent="0.3">
      <c r="A3" s="21" t="s">
        <v>54</v>
      </c>
      <c r="B3" s="23">
        <v>2009</v>
      </c>
      <c r="C3" s="23">
        <v>5200</v>
      </c>
      <c r="D3" s="23">
        <v>155</v>
      </c>
    </row>
    <row r="7" spans="1:7" x14ac:dyDescent="0.3">
      <c r="G7" s="24"/>
    </row>
    <row r="13" spans="1:7" x14ac:dyDescent="0.3">
      <c r="A13" s="20" t="s">
        <v>53</v>
      </c>
      <c r="B13" t="s">
        <v>55</v>
      </c>
      <c r="C13" t="s">
        <v>56</v>
      </c>
      <c r="D13" t="s">
        <v>51</v>
      </c>
    </row>
    <row r="14" spans="1:7" x14ac:dyDescent="0.3">
      <c r="A14" s="21" t="s">
        <v>30</v>
      </c>
      <c r="B14" s="23">
        <v>100</v>
      </c>
      <c r="C14" s="23">
        <v>55</v>
      </c>
      <c r="D14" s="23">
        <v>5200</v>
      </c>
    </row>
    <row r="15" spans="1:7" x14ac:dyDescent="0.3">
      <c r="A15" s="21" t="s">
        <v>54</v>
      </c>
      <c r="B15" s="23">
        <v>100</v>
      </c>
      <c r="C15" s="23">
        <v>55</v>
      </c>
      <c r="D15" s="23">
        <v>5200</v>
      </c>
    </row>
    <row r="21" spans="1:3" x14ac:dyDescent="0.3">
      <c r="A21" s="20" t="s">
        <v>53</v>
      </c>
      <c r="B21" t="s">
        <v>50</v>
      </c>
      <c r="C21" t="s">
        <v>49</v>
      </c>
    </row>
    <row r="22" spans="1:3" x14ac:dyDescent="0.3">
      <c r="A22" s="21" t="s">
        <v>23</v>
      </c>
      <c r="B22" s="23">
        <v>16000</v>
      </c>
      <c r="C22" s="23">
        <v>2009</v>
      </c>
    </row>
    <row r="23" spans="1:3" x14ac:dyDescent="0.3">
      <c r="A23" s="22" t="s">
        <v>30</v>
      </c>
      <c r="B23" s="23">
        <v>16000</v>
      </c>
      <c r="C23" s="23">
        <v>2009</v>
      </c>
    </row>
    <row r="24" spans="1:3" x14ac:dyDescent="0.3">
      <c r="A24" s="21" t="s">
        <v>54</v>
      </c>
      <c r="B24" s="23">
        <v>16000</v>
      </c>
      <c r="C24" s="23">
        <v>2009</v>
      </c>
    </row>
    <row r="29" spans="1:3" x14ac:dyDescent="0.3">
      <c r="A29" t="s">
        <v>52</v>
      </c>
    </row>
    <row r="30" spans="1:3" x14ac:dyDescent="0.3">
      <c r="A30" s="23">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65FED-D189-4093-B437-6DAC8CEC9B7F}">
  <dimension ref="A1"/>
  <sheetViews>
    <sheetView showGridLines="0" tabSelected="1" zoomScaleNormal="100" workbookViewId="0">
      <selection activeCell="D9" sqref="D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Nishad</dc:creator>
  <cp:lastModifiedBy>Adarsh Nishad</cp:lastModifiedBy>
  <dcterms:created xsi:type="dcterms:W3CDTF">2025-12-14T12:17:34Z</dcterms:created>
  <dcterms:modified xsi:type="dcterms:W3CDTF">2025-12-24T15:10:16Z</dcterms:modified>
</cp:coreProperties>
</file>